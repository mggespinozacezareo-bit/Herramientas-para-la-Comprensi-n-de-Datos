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0"/>
  <workbookPr/>
  <mc:AlternateContent xmlns:mc="http://schemas.openxmlformats.org/markup-compatibility/2006">
    <mc:Choice Requires="x15">
      <x15ac:absPath xmlns:x15ac="http://schemas.microsoft.com/office/spreadsheetml/2010/11/ac" url="C:\Users\Espinoza\Desktop\"/>
    </mc:Choice>
  </mc:AlternateContent>
  <xr:revisionPtr revIDLastSave="0" documentId="13_ncr:1_{D9EDE688-39E3-49A0-82EF-E3725223C1D0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  <c r="E15" i="1"/>
  <c r="D15" i="1"/>
  <c r="C15" i="1"/>
  <c r="B15" i="1"/>
  <c r="A15" i="1"/>
</calcChain>
</file>

<file path=xl/sharedStrings.xml><?xml version="1.0" encoding="utf-8"?>
<sst xmlns="http://schemas.openxmlformats.org/spreadsheetml/2006/main" count="124" uniqueCount="38">
  <si>
    <t>SUM</t>
  </si>
  <si>
    <t>CONT</t>
  </si>
  <si>
    <t>PROMEDIO</t>
  </si>
  <si>
    <t>MIN</t>
  </si>
  <si>
    <t>MAX</t>
  </si>
  <si>
    <t>Ejercicio 2.2</t>
  </si>
  <si>
    <t>Parte 1</t>
  </si>
  <si>
    <t>Parte 2</t>
  </si>
  <si>
    <t xml:space="preserve">Ejercicio 2.4 </t>
  </si>
  <si>
    <t>Date</t>
  </si>
  <si>
    <t>Month</t>
  </si>
  <si>
    <t>December</t>
  </si>
  <si>
    <t>Year</t>
  </si>
  <si>
    <t>Customer_Ager</t>
  </si>
  <si>
    <t>Ager_Group</t>
  </si>
  <si>
    <t>Adults (35-64)</t>
  </si>
  <si>
    <t>Youht (&lt;25)</t>
  </si>
  <si>
    <t>Youht Adults (25-34)</t>
  </si>
  <si>
    <t>F</t>
  </si>
  <si>
    <t>M</t>
  </si>
  <si>
    <t>Customber_Genber</t>
  </si>
  <si>
    <t>Ejercicio 2.6</t>
  </si>
  <si>
    <t>Contry</t>
  </si>
  <si>
    <t>State</t>
  </si>
  <si>
    <t>Product_Category</t>
  </si>
  <si>
    <t>California</t>
  </si>
  <si>
    <t>Washintog</t>
  </si>
  <si>
    <t>Hambrug</t>
  </si>
  <si>
    <t>England</t>
  </si>
  <si>
    <t>Brandenbrug</t>
  </si>
  <si>
    <t>New South Wales</t>
  </si>
  <si>
    <t xml:space="preserve">South Australia </t>
  </si>
  <si>
    <t xml:space="preserve">England </t>
  </si>
  <si>
    <t>United States</t>
  </si>
  <si>
    <t>Germany</t>
  </si>
  <si>
    <t>United Kingdom</t>
  </si>
  <si>
    <t>Australia</t>
  </si>
  <si>
    <t>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</si>
</sst>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zoomScale="130" zoomScaleNormal="130" workbookViewId="0">
      <selection activeCell="G36" sqref="G36"/>
    </sheetView>
  </sheetViews>
  <sheetFormatPr baseColWidth="10" defaultColWidth="9.140625" defaultRowHeight="15" x14ac:dyDescent="0.25"/>
  <cols>
    <col min="1" max="1" width="10.28515625" bestFit="1" customWidth="1"/>
    <col min="2" max="2" width="11.140625" customWidth="1"/>
    <col min="3" max="3" width="11.85546875" bestFit="1" customWidth="1"/>
    <col min="4" max="4" width="14.140625" customWidth="1"/>
    <col min="5" max="5" width="18.42578125" customWidth="1"/>
    <col min="6" max="6" width="18" customWidth="1"/>
    <col min="7" max="7" width="14.85546875" customWidth="1"/>
    <col min="8" max="8" width="15.5703125" customWidth="1"/>
    <col min="9" max="9" width="16.5703125" customWidth="1"/>
  </cols>
  <sheetData>
    <row r="1" spans="1:6" x14ac:dyDescent="0.25">
      <c r="A1" s="1" t="s">
        <v>5</v>
      </c>
      <c r="B1" s="1"/>
      <c r="C1" s="1"/>
      <c r="D1" s="1"/>
      <c r="E1" s="1"/>
    </row>
    <row r="2" spans="1:6" x14ac:dyDescent="0.25">
      <c r="A2" s="3" t="s">
        <v>6</v>
      </c>
      <c r="B2" s="3"/>
      <c r="C2" s="3"/>
      <c r="D2" s="3"/>
      <c r="E2" s="3"/>
    </row>
    <row r="3" spans="1:6" x14ac:dyDescent="0.25">
      <c r="A3" s="2"/>
      <c r="B3" s="2"/>
      <c r="C3" s="2"/>
    </row>
    <row r="4" spans="1:6" x14ac:dyDescent="0.25">
      <c r="A4" s="2">
        <v>4</v>
      </c>
      <c r="B4" s="2">
        <v>2</v>
      </c>
      <c r="C4" s="2">
        <v>6</v>
      </c>
    </row>
    <row r="5" spans="1:6" x14ac:dyDescent="0.25">
      <c r="A5" s="2">
        <v>4</v>
      </c>
      <c r="B5" s="2">
        <v>2</v>
      </c>
      <c r="C5" s="2">
        <f xml:space="preserve"> A5-B5</f>
        <v>2</v>
      </c>
    </row>
    <row r="6" spans="1:6" x14ac:dyDescent="0.25">
      <c r="A6" s="2">
        <v>4</v>
      </c>
      <c r="B6" s="2">
        <v>2</v>
      </c>
      <c r="C6" s="2">
        <f xml:space="preserve"> A6*B6</f>
        <v>8</v>
      </c>
    </row>
    <row r="7" spans="1:6" x14ac:dyDescent="0.25">
      <c r="A7" s="4">
        <v>4</v>
      </c>
      <c r="B7" s="4">
        <v>2</v>
      </c>
      <c r="C7" s="4">
        <f xml:space="preserve"> A7/B7</f>
        <v>2</v>
      </c>
    </row>
    <row r="8" spans="1:6" x14ac:dyDescent="0.25">
      <c r="A8" s="5" t="s">
        <v>7</v>
      </c>
      <c r="B8" s="5"/>
      <c r="C8" s="5"/>
      <c r="D8" s="5"/>
      <c r="E8" s="5"/>
    </row>
    <row r="9" spans="1:6" x14ac:dyDescent="0.25">
      <c r="A9" s="2" t="s">
        <v>0</v>
      </c>
      <c r="B9" s="2" t="s">
        <v>2</v>
      </c>
      <c r="C9" s="2" t="s">
        <v>1</v>
      </c>
      <c r="D9" s="2" t="s">
        <v>3</v>
      </c>
      <c r="E9" s="2" t="s">
        <v>4</v>
      </c>
    </row>
    <row r="10" spans="1:6" x14ac:dyDescent="0.25">
      <c r="A10" s="2">
        <v>10</v>
      </c>
      <c r="B10" s="2">
        <v>10</v>
      </c>
      <c r="C10" s="2">
        <v>10</v>
      </c>
      <c r="D10" s="2">
        <v>10</v>
      </c>
      <c r="E10" s="2">
        <v>10</v>
      </c>
    </row>
    <row r="11" spans="1:6" x14ac:dyDescent="0.25">
      <c r="A11" s="2">
        <v>7</v>
      </c>
      <c r="B11" s="2">
        <v>7</v>
      </c>
      <c r="C11" s="2">
        <v>7</v>
      </c>
      <c r="D11" s="2">
        <v>7</v>
      </c>
      <c r="E11" s="2">
        <v>7</v>
      </c>
    </row>
    <row r="12" spans="1:6" x14ac:dyDescent="0.25">
      <c r="A12" s="2">
        <v>5</v>
      </c>
      <c r="B12" s="2">
        <v>5</v>
      </c>
      <c r="C12" s="2">
        <v>5</v>
      </c>
      <c r="D12" s="2">
        <v>5</v>
      </c>
      <c r="E12" s="2">
        <v>5</v>
      </c>
    </row>
    <row r="13" spans="1:6" x14ac:dyDescent="0.25">
      <c r="A13" s="2">
        <v>9</v>
      </c>
      <c r="B13" s="2">
        <v>9</v>
      </c>
      <c r="C13" s="2">
        <v>9</v>
      </c>
      <c r="D13" s="2">
        <v>9</v>
      </c>
      <c r="E13" s="2">
        <v>9</v>
      </c>
    </row>
    <row r="14" spans="1:6" x14ac:dyDescent="0.25">
      <c r="A14" s="2">
        <v>12</v>
      </c>
      <c r="B14" s="2">
        <v>12</v>
      </c>
      <c r="C14" s="2">
        <v>12</v>
      </c>
      <c r="D14" s="2">
        <v>12</v>
      </c>
      <c r="E14" s="2">
        <v>12</v>
      </c>
    </row>
    <row r="15" spans="1:6" x14ac:dyDescent="0.25">
      <c r="A15" s="4">
        <f>A10+A11+A12+A13+A14</f>
        <v>43</v>
      </c>
      <c r="B15" s="4">
        <f>AVERAGE(B10:B14)</f>
        <v>8.6</v>
      </c>
      <c r="C15" s="4">
        <f>COUNT(C10:C14)</f>
        <v>5</v>
      </c>
      <c r="D15" s="4">
        <f>MIN(D10:D14)</f>
        <v>5</v>
      </c>
      <c r="E15" s="4">
        <f>MAX(E10:E14)</f>
        <v>12</v>
      </c>
    </row>
    <row r="16" spans="1:6" x14ac:dyDescent="0.25">
      <c r="A16" s="7" t="s">
        <v>8</v>
      </c>
      <c r="B16" s="8"/>
      <c r="C16" s="8"/>
      <c r="D16" s="8"/>
      <c r="E16" s="8"/>
      <c r="F16" s="9"/>
    </row>
    <row r="17" spans="1:9" x14ac:dyDescent="0.25">
      <c r="A17" s="2" t="s">
        <v>9</v>
      </c>
      <c r="B17" s="2" t="s">
        <v>10</v>
      </c>
      <c r="C17" s="2" t="s">
        <v>12</v>
      </c>
      <c r="D17" s="2" t="s">
        <v>13</v>
      </c>
      <c r="E17" s="2" t="s">
        <v>14</v>
      </c>
      <c r="F17" s="2" t="s">
        <v>20</v>
      </c>
    </row>
    <row r="18" spans="1:9" x14ac:dyDescent="0.25">
      <c r="A18" s="6">
        <v>44208</v>
      </c>
      <c r="B18" s="2" t="s">
        <v>11</v>
      </c>
      <c r="C18" s="2">
        <v>2021</v>
      </c>
      <c r="D18" s="2">
        <v>39</v>
      </c>
      <c r="E18" s="2" t="s">
        <v>15</v>
      </c>
      <c r="F18" s="2" t="s">
        <v>18</v>
      </c>
    </row>
    <row r="19" spans="1:9" x14ac:dyDescent="0.25">
      <c r="A19" s="6">
        <v>44208</v>
      </c>
      <c r="B19" s="2" t="s">
        <v>11</v>
      </c>
      <c r="C19" s="2">
        <v>2021</v>
      </c>
      <c r="D19" s="2">
        <v>42</v>
      </c>
      <c r="E19" s="2" t="s">
        <v>15</v>
      </c>
      <c r="F19" s="2" t="s">
        <v>19</v>
      </c>
    </row>
    <row r="20" spans="1:9" x14ac:dyDescent="0.25">
      <c r="A20" s="6">
        <v>44208</v>
      </c>
      <c r="B20" s="2" t="s">
        <v>11</v>
      </c>
      <c r="C20" s="2">
        <v>2021</v>
      </c>
      <c r="D20" s="2">
        <v>36</v>
      </c>
      <c r="E20" s="2" t="s">
        <v>15</v>
      </c>
      <c r="F20" s="2" t="s">
        <v>18</v>
      </c>
    </row>
    <row r="21" spans="1:9" x14ac:dyDescent="0.25">
      <c r="A21" s="6">
        <v>44209</v>
      </c>
      <c r="B21" s="2" t="s">
        <v>11</v>
      </c>
      <c r="C21" s="2">
        <v>2021</v>
      </c>
      <c r="D21" s="2">
        <v>20</v>
      </c>
      <c r="E21" s="2" t="s">
        <v>16</v>
      </c>
      <c r="F21" s="2" t="s">
        <v>19</v>
      </c>
    </row>
    <row r="22" spans="1:9" x14ac:dyDescent="0.25">
      <c r="A22" s="6">
        <v>44210</v>
      </c>
      <c r="B22" s="2" t="s">
        <v>11</v>
      </c>
      <c r="C22" s="2">
        <v>2021</v>
      </c>
      <c r="D22" s="2">
        <v>23</v>
      </c>
      <c r="E22" s="2" t="s">
        <v>16</v>
      </c>
      <c r="F22" s="2" t="s">
        <v>19</v>
      </c>
    </row>
    <row r="23" spans="1:9" x14ac:dyDescent="0.25">
      <c r="A23" s="6">
        <v>44211</v>
      </c>
      <c r="B23" s="2" t="s">
        <v>11</v>
      </c>
      <c r="C23" s="2">
        <v>2021</v>
      </c>
      <c r="D23" s="2">
        <v>23</v>
      </c>
      <c r="E23" s="2" t="s">
        <v>16</v>
      </c>
      <c r="F23" s="2" t="s">
        <v>18</v>
      </c>
    </row>
    <row r="24" spans="1:9" x14ac:dyDescent="0.25">
      <c r="A24" s="6">
        <v>44212</v>
      </c>
      <c r="B24" s="2" t="s">
        <v>11</v>
      </c>
      <c r="C24" s="2">
        <v>2021</v>
      </c>
      <c r="D24" s="2">
        <v>28</v>
      </c>
      <c r="E24" s="2" t="s">
        <v>17</v>
      </c>
      <c r="F24" s="2" t="s">
        <v>18</v>
      </c>
    </row>
    <row r="25" spans="1:9" x14ac:dyDescent="0.25">
      <c r="A25" s="6">
        <v>44213</v>
      </c>
      <c r="B25" s="2" t="s">
        <v>11</v>
      </c>
      <c r="C25" s="2">
        <v>2021</v>
      </c>
      <c r="D25" s="2">
        <v>28</v>
      </c>
      <c r="E25" s="2" t="s">
        <v>17</v>
      </c>
      <c r="F25" s="2" t="s">
        <v>18</v>
      </c>
    </row>
    <row r="26" spans="1:9" x14ac:dyDescent="0.25">
      <c r="A26" s="6">
        <v>44214</v>
      </c>
      <c r="B26" s="2" t="s">
        <v>11</v>
      </c>
      <c r="C26" s="2">
        <v>2021</v>
      </c>
      <c r="D26" s="2">
        <v>31</v>
      </c>
      <c r="E26" s="2" t="s">
        <v>17</v>
      </c>
      <c r="F26" s="2" t="s">
        <v>18</v>
      </c>
    </row>
    <row r="27" spans="1:9" x14ac:dyDescent="0.25">
      <c r="A27" s="6">
        <v>44215</v>
      </c>
      <c r="B27" s="2" t="s">
        <v>11</v>
      </c>
      <c r="C27" s="2">
        <v>2021</v>
      </c>
      <c r="D27" s="2">
        <v>34</v>
      </c>
      <c r="E27" s="2" t="s">
        <v>17</v>
      </c>
      <c r="F27" s="2" t="s">
        <v>19</v>
      </c>
    </row>
    <row r="28" spans="1:9" x14ac:dyDescent="0.25">
      <c r="A28" s="6">
        <v>44216</v>
      </c>
      <c r="B28" s="2" t="s">
        <v>11</v>
      </c>
      <c r="C28" s="2">
        <v>2021</v>
      </c>
      <c r="D28" s="2">
        <v>44</v>
      </c>
      <c r="E28" s="2" t="s">
        <v>15</v>
      </c>
      <c r="F28" s="2" t="s">
        <v>19</v>
      </c>
    </row>
    <row r="29" spans="1:9" x14ac:dyDescent="0.25">
      <c r="A29" s="10" t="s">
        <v>21</v>
      </c>
      <c r="B29" s="10"/>
      <c r="C29" s="10"/>
      <c r="D29" s="10"/>
      <c r="E29" s="10"/>
      <c r="F29" s="10"/>
      <c r="G29" s="10"/>
      <c r="H29" s="10"/>
      <c r="I29" s="10"/>
    </row>
    <row r="30" spans="1:9" x14ac:dyDescent="0.25">
      <c r="A30" s="2" t="s">
        <v>9</v>
      </c>
      <c r="B30" s="2" t="s">
        <v>10</v>
      </c>
      <c r="C30" s="2" t="s">
        <v>12</v>
      </c>
      <c r="D30" s="2" t="s">
        <v>13</v>
      </c>
      <c r="E30" s="2" t="s">
        <v>14</v>
      </c>
      <c r="F30" s="2" t="s">
        <v>20</v>
      </c>
      <c r="G30" s="11" t="s">
        <v>22</v>
      </c>
      <c r="H30" s="11" t="s">
        <v>23</v>
      </c>
      <c r="I30" s="11" t="s">
        <v>24</v>
      </c>
    </row>
    <row r="31" spans="1:9" x14ac:dyDescent="0.25">
      <c r="A31" s="6">
        <v>44208</v>
      </c>
      <c r="B31" s="2" t="s">
        <v>11</v>
      </c>
      <c r="C31" s="2">
        <v>2021</v>
      </c>
      <c r="D31" s="2">
        <v>39</v>
      </c>
      <c r="E31" s="2" t="s">
        <v>15</v>
      </c>
      <c r="F31" s="2" t="s">
        <v>18</v>
      </c>
      <c r="G31" s="11" t="s">
        <v>33</v>
      </c>
      <c r="H31" s="2" t="s">
        <v>25</v>
      </c>
      <c r="I31" s="2" t="s">
        <v>37</v>
      </c>
    </row>
    <row r="32" spans="1:9" x14ac:dyDescent="0.25">
      <c r="A32" s="6">
        <v>44208</v>
      </c>
      <c r="B32" s="2" t="s">
        <v>11</v>
      </c>
      <c r="C32" s="2">
        <v>2021</v>
      </c>
      <c r="D32" s="2">
        <v>42</v>
      </c>
      <c r="E32" s="2" t="s">
        <v>15</v>
      </c>
      <c r="F32" s="2" t="s">
        <v>19</v>
      </c>
      <c r="G32" s="2" t="s">
        <v>33</v>
      </c>
      <c r="H32" s="2" t="s">
        <v>26</v>
      </c>
      <c r="I32" s="2" t="s">
        <v>37</v>
      </c>
    </row>
    <row r="33" spans="1:9" x14ac:dyDescent="0.25">
      <c r="A33" s="6">
        <v>44208</v>
      </c>
      <c r="B33" s="2" t="s">
        <v>11</v>
      </c>
      <c r="C33" s="2">
        <v>2021</v>
      </c>
      <c r="D33" s="2">
        <v>36</v>
      </c>
      <c r="E33" s="2" t="s">
        <v>15</v>
      </c>
      <c r="F33" s="2" t="s">
        <v>18</v>
      </c>
      <c r="G33" s="11" t="s">
        <v>34</v>
      </c>
      <c r="H33" s="2" t="s">
        <v>29</v>
      </c>
      <c r="I33" s="2" t="s">
        <v>37</v>
      </c>
    </row>
    <row r="34" spans="1:9" x14ac:dyDescent="0.25">
      <c r="A34" s="6">
        <v>44209</v>
      </c>
      <c r="B34" s="2" t="s">
        <v>11</v>
      </c>
      <c r="C34" s="2">
        <v>2021</v>
      </c>
      <c r="D34" s="2">
        <v>20</v>
      </c>
      <c r="E34" s="2" t="s">
        <v>16</v>
      </c>
      <c r="F34" s="2" t="s">
        <v>19</v>
      </c>
      <c r="G34" s="11" t="s">
        <v>34</v>
      </c>
      <c r="H34" s="2" t="s">
        <v>27</v>
      </c>
      <c r="I34" s="2" t="s">
        <v>37</v>
      </c>
    </row>
    <row r="35" spans="1:9" x14ac:dyDescent="0.25">
      <c r="A35" s="6">
        <v>44210</v>
      </c>
      <c r="B35" s="2" t="s">
        <v>11</v>
      </c>
      <c r="C35" s="2">
        <v>2021</v>
      </c>
      <c r="D35" s="2">
        <v>23</v>
      </c>
      <c r="E35" s="2" t="s">
        <v>16</v>
      </c>
      <c r="F35" s="2" t="s">
        <v>19</v>
      </c>
      <c r="G35" s="11" t="s">
        <v>35</v>
      </c>
      <c r="H35" s="2" t="s">
        <v>28</v>
      </c>
      <c r="I35" s="2" t="s">
        <v>37</v>
      </c>
    </row>
    <row r="36" spans="1:9" x14ac:dyDescent="0.25">
      <c r="A36" s="6">
        <v>44211</v>
      </c>
      <c r="B36" s="2" t="s">
        <v>11</v>
      </c>
      <c r="C36" s="2">
        <v>2021</v>
      </c>
      <c r="D36" s="2">
        <v>23</v>
      </c>
      <c r="E36" s="2" t="s">
        <v>16</v>
      </c>
      <c r="F36" s="2" t="s">
        <v>18</v>
      </c>
      <c r="G36" s="2" t="s">
        <v>33</v>
      </c>
      <c r="H36" s="2" t="s">
        <v>25</v>
      </c>
      <c r="I36" s="2" t="s">
        <v>37</v>
      </c>
    </row>
    <row r="37" spans="1:9" x14ac:dyDescent="0.25">
      <c r="A37" s="6">
        <v>44212</v>
      </c>
      <c r="B37" s="2" t="s">
        <v>11</v>
      </c>
      <c r="C37" s="2">
        <v>2021</v>
      </c>
      <c r="D37" s="2">
        <v>28</v>
      </c>
      <c r="E37" s="2" t="s">
        <v>17</v>
      </c>
      <c r="F37" s="2" t="s">
        <v>18</v>
      </c>
      <c r="G37" s="11" t="s">
        <v>36</v>
      </c>
      <c r="H37" s="2" t="s">
        <v>30</v>
      </c>
      <c r="I37" s="2" t="s">
        <v>37</v>
      </c>
    </row>
    <row r="38" spans="1:9" x14ac:dyDescent="0.25">
      <c r="A38" s="6">
        <v>44213</v>
      </c>
      <c r="B38" s="2" t="s">
        <v>11</v>
      </c>
      <c r="C38" s="2">
        <v>2021</v>
      </c>
      <c r="D38" s="2">
        <v>28</v>
      </c>
      <c r="E38" s="2" t="s">
        <v>17</v>
      </c>
      <c r="F38" s="2" t="s">
        <v>18</v>
      </c>
      <c r="G38" s="11" t="s">
        <v>33</v>
      </c>
      <c r="H38" s="2" t="s">
        <v>25</v>
      </c>
      <c r="I38" s="2" t="s">
        <v>37</v>
      </c>
    </row>
    <row r="39" spans="1:9" x14ac:dyDescent="0.25">
      <c r="A39" s="6">
        <v>44214</v>
      </c>
      <c r="B39" s="2" t="s">
        <v>11</v>
      </c>
      <c r="C39" s="2">
        <v>2021</v>
      </c>
      <c r="D39" s="2">
        <v>31</v>
      </c>
      <c r="E39" s="2" t="s">
        <v>17</v>
      </c>
      <c r="F39" s="2" t="s">
        <v>18</v>
      </c>
      <c r="G39" s="2" t="s">
        <v>36</v>
      </c>
      <c r="H39" s="2" t="s">
        <v>31</v>
      </c>
      <c r="I39" s="2" t="s">
        <v>37</v>
      </c>
    </row>
    <row r="40" spans="1:9" x14ac:dyDescent="0.25">
      <c r="A40" s="6">
        <v>44215</v>
      </c>
      <c r="B40" s="2" t="s">
        <v>11</v>
      </c>
      <c r="C40" s="2">
        <v>2021</v>
      </c>
      <c r="D40" s="2">
        <v>34</v>
      </c>
      <c r="E40" s="2" t="s">
        <v>17</v>
      </c>
      <c r="F40" s="2" t="s">
        <v>19</v>
      </c>
      <c r="G40" s="2" t="s">
        <v>36</v>
      </c>
      <c r="H40" s="2" t="s">
        <v>30</v>
      </c>
      <c r="I40" s="2" t="s">
        <v>37</v>
      </c>
    </row>
    <row r="41" spans="1:9" x14ac:dyDescent="0.25">
      <c r="A41" s="6">
        <v>44216</v>
      </c>
      <c r="B41" s="2" t="s">
        <v>11</v>
      </c>
      <c r="C41" s="2">
        <v>2021</v>
      </c>
      <c r="D41" s="2">
        <v>44</v>
      </c>
      <c r="E41" s="2" t="s">
        <v>15</v>
      </c>
      <c r="F41" s="2" t="s">
        <v>19</v>
      </c>
      <c r="G41" s="2" t="s">
        <v>35</v>
      </c>
      <c r="H41" s="2" t="s">
        <v>32</v>
      </c>
      <c r="I41" s="2" t="s">
        <v>37</v>
      </c>
    </row>
  </sheetData>
  <mergeCells count="5">
    <mergeCell ref="A29:I29"/>
    <mergeCell ref="A1:E1"/>
    <mergeCell ref="A2:E2"/>
    <mergeCell ref="A8:E8"/>
    <mergeCell ref="A16:F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Espinoza</dc:creator>
  <cp:lastModifiedBy>Espinoza</cp:lastModifiedBy>
  <dcterms:created xsi:type="dcterms:W3CDTF">2015-06-05T18:19:34Z</dcterms:created>
  <dcterms:modified xsi:type="dcterms:W3CDTF">2026-09-27T01:29:19Z</dcterms:modified>
</cp:coreProperties>
</file>